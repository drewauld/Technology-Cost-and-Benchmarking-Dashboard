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wAuld\Downloads\"/>
    </mc:Choice>
  </mc:AlternateContent>
  <xr:revisionPtr revIDLastSave="0" documentId="13_ncr:1_{C75C69AF-3C21-40B5-B707-DBF3EAE9CD12}" xr6:coauthVersionLast="47" xr6:coauthVersionMax="47" xr10:uidLastSave="{00000000-0000-0000-0000-000000000000}"/>
  <bookViews>
    <workbookView xWindow="-2355" yWindow="-21720" windowWidth="38640" windowHeight="21120" xr2:uid="{B09F92CE-D52C-45A1-9874-80770C2A0BFF}"/>
  </bookViews>
  <sheets>
    <sheet name="Sheet1" sheetId="1" r:id="rId1"/>
  </sheets>
  <definedNames>
    <definedName name="_xlnm._FilterDatabase" localSheetId="0" hidden="1">Sheet1!$A$1:$R$37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Q21" i="1"/>
  <c r="P21" i="1"/>
  <c r="O21" i="1"/>
  <c r="N21" i="1"/>
  <c r="M21" i="1"/>
  <c r="L21" i="1"/>
  <c r="K21" i="1"/>
  <c r="J21" i="1"/>
  <c r="I21" i="1"/>
  <c r="H21" i="1"/>
  <c r="G21" i="1"/>
  <c r="R20" i="1"/>
  <c r="Q20" i="1"/>
  <c r="P20" i="1"/>
  <c r="O20" i="1"/>
  <c r="N20" i="1"/>
  <c r="M20" i="1"/>
  <c r="L20" i="1"/>
  <c r="K20" i="1"/>
  <c r="J20" i="1"/>
  <c r="I20" i="1"/>
  <c r="H20" i="1"/>
  <c r="G20" i="1"/>
  <c r="R15" i="1"/>
  <c r="Q15" i="1"/>
  <c r="P15" i="1"/>
  <c r="O15" i="1"/>
  <c r="N15" i="1"/>
  <c r="M15" i="1"/>
  <c r="L15" i="1"/>
  <c r="K15" i="1"/>
  <c r="J15" i="1"/>
  <c r="I15" i="1"/>
  <c r="H15" i="1"/>
  <c r="G15" i="1"/>
  <c r="R13" i="1"/>
  <c r="Q13" i="1"/>
  <c r="P13" i="1"/>
  <c r="O13" i="1"/>
  <c r="N13" i="1"/>
  <c r="M13" i="1"/>
  <c r="L13" i="1"/>
  <c r="K13" i="1"/>
  <c r="J13" i="1"/>
  <c r="I13" i="1"/>
  <c r="H13" i="1"/>
  <c r="G13" i="1"/>
  <c r="R12" i="1"/>
  <c r="Q12" i="1"/>
  <c r="P12" i="1"/>
  <c r="O12" i="1"/>
  <c r="N12" i="1"/>
  <c r="M12" i="1"/>
  <c r="L12" i="1"/>
  <c r="K12" i="1"/>
  <c r="J12" i="1"/>
  <c r="I12" i="1"/>
  <c r="H12" i="1"/>
  <c r="G12" i="1"/>
  <c r="R11" i="1"/>
  <c r="Q11" i="1"/>
  <c r="P11" i="1"/>
  <c r="O11" i="1"/>
  <c r="N11" i="1"/>
  <c r="M11" i="1"/>
  <c r="L11" i="1"/>
  <c r="K11" i="1"/>
  <c r="J11" i="1"/>
  <c r="I11" i="1"/>
  <c r="H11" i="1"/>
  <c r="G11" i="1"/>
  <c r="R10" i="1"/>
  <c r="Q10" i="1"/>
  <c r="P10" i="1"/>
  <c r="O10" i="1"/>
  <c r="N10" i="1"/>
  <c r="M10" i="1"/>
  <c r="L10" i="1"/>
  <c r="K10" i="1"/>
  <c r="J10" i="1"/>
  <c r="I10" i="1"/>
  <c r="H10" i="1"/>
  <c r="G10" i="1"/>
  <c r="R9" i="1"/>
  <c r="Q9" i="1"/>
  <c r="P9" i="1"/>
  <c r="O9" i="1"/>
  <c r="N9" i="1"/>
  <c r="M9" i="1"/>
  <c r="L9" i="1"/>
  <c r="K9" i="1"/>
  <c r="J9" i="1"/>
  <c r="I9" i="1"/>
  <c r="H9" i="1"/>
  <c r="G9" i="1"/>
  <c r="R37" i="1"/>
  <c r="Q37" i="1"/>
  <c r="P37" i="1"/>
  <c r="O37" i="1"/>
  <c r="N37" i="1"/>
  <c r="M37" i="1"/>
  <c r="L37" i="1"/>
  <c r="K37" i="1"/>
  <c r="J37" i="1"/>
  <c r="I37" i="1"/>
  <c r="H37" i="1"/>
  <c r="G37" i="1"/>
  <c r="R36" i="1"/>
  <c r="Q36" i="1"/>
  <c r="P36" i="1"/>
  <c r="O36" i="1"/>
  <c r="N36" i="1"/>
  <c r="M36" i="1"/>
  <c r="L36" i="1"/>
  <c r="K36" i="1"/>
  <c r="J36" i="1"/>
  <c r="I36" i="1"/>
  <c r="H36" i="1"/>
  <c r="G36" i="1"/>
  <c r="R34" i="1"/>
  <c r="Q34" i="1"/>
  <c r="P34" i="1"/>
  <c r="O34" i="1"/>
  <c r="N34" i="1"/>
  <c r="M34" i="1"/>
  <c r="L34" i="1"/>
  <c r="K34" i="1"/>
  <c r="J34" i="1"/>
  <c r="I34" i="1"/>
  <c r="H34" i="1"/>
  <c r="G34" i="1"/>
  <c r="R33" i="1"/>
  <c r="Q33" i="1"/>
  <c r="P33" i="1"/>
  <c r="O33" i="1"/>
  <c r="N33" i="1"/>
  <c r="M33" i="1"/>
  <c r="L33" i="1"/>
  <c r="K33" i="1"/>
  <c r="J33" i="1"/>
  <c r="I33" i="1"/>
  <c r="H33" i="1"/>
  <c r="G33" i="1"/>
  <c r="R31" i="1"/>
  <c r="Q31" i="1"/>
  <c r="P31" i="1"/>
  <c r="O31" i="1"/>
  <c r="N31" i="1"/>
  <c r="M31" i="1"/>
  <c r="L31" i="1"/>
  <c r="K31" i="1"/>
  <c r="J31" i="1"/>
  <c r="I31" i="1"/>
  <c r="H31" i="1"/>
  <c r="G31" i="1"/>
  <c r="R29" i="1"/>
  <c r="Q29" i="1"/>
  <c r="P29" i="1"/>
  <c r="O29" i="1"/>
  <c r="N29" i="1"/>
  <c r="M29" i="1"/>
  <c r="L29" i="1"/>
  <c r="K29" i="1"/>
  <c r="J29" i="1"/>
  <c r="I29" i="1"/>
  <c r="H29" i="1"/>
  <c r="G29" i="1"/>
  <c r="R28" i="1"/>
  <c r="Q28" i="1"/>
  <c r="P28" i="1"/>
  <c r="O28" i="1"/>
  <c r="N28" i="1"/>
  <c r="M28" i="1"/>
  <c r="L28" i="1"/>
  <c r="K28" i="1"/>
  <c r="J28" i="1"/>
  <c r="I28" i="1"/>
  <c r="H28" i="1"/>
  <c r="G28" i="1"/>
  <c r="R27" i="1"/>
  <c r="Q27" i="1"/>
  <c r="H27" i="1"/>
  <c r="G27" i="1"/>
  <c r="R26" i="1"/>
  <c r="Q26" i="1"/>
  <c r="P26" i="1"/>
  <c r="O26" i="1"/>
  <c r="N26" i="1"/>
  <c r="M26" i="1"/>
  <c r="L26" i="1"/>
  <c r="K26" i="1"/>
  <c r="J26" i="1"/>
  <c r="I26" i="1"/>
  <c r="H26" i="1"/>
  <c r="G26" i="1"/>
  <c r="R25" i="1"/>
  <c r="Q25" i="1"/>
  <c r="P25" i="1"/>
  <c r="O25" i="1"/>
  <c r="N25" i="1"/>
  <c r="M25" i="1"/>
  <c r="L25" i="1"/>
  <c r="K25" i="1"/>
  <c r="J25" i="1"/>
  <c r="I25" i="1"/>
  <c r="H25" i="1"/>
  <c r="G25" i="1"/>
  <c r="R24" i="1"/>
  <c r="Q24" i="1"/>
  <c r="P24" i="1"/>
  <c r="O24" i="1"/>
  <c r="N24" i="1"/>
  <c r="M24" i="1"/>
  <c r="L24" i="1"/>
  <c r="K24" i="1"/>
  <c r="J24" i="1"/>
  <c r="I24" i="1"/>
  <c r="H24" i="1"/>
  <c r="G24" i="1"/>
  <c r="R19" i="1"/>
  <c r="Q19" i="1"/>
  <c r="P19" i="1"/>
  <c r="O19" i="1"/>
  <c r="N19" i="1"/>
  <c r="M19" i="1"/>
  <c r="L19" i="1"/>
  <c r="K19" i="1"/>
  <c r="J19" i="1"/>
  <c r="I19" i="1"/>
  <c r="H19" i="1"/>
  <c r="G19" i="1"/>
  <c r="R18" i="1"/>
  <c r="Q18" i="1"/>
  <c r="P18" i="1"/>
  <c r="O18" i="1"/>
  <c r="N18" i="1"/>
  <c r="M18" i="1"/>
  <c r="L18" i="1"/>
  <c r="K18" i="1"/>
  <c r="J18" i="1"/>
  <c r="I18" i="1"/>
  <c r="H18" i="1"/>
  <c r="G18" i="1"/>
  <c r="R17" i="1"/>
  <c r="Q17" i="1"/>
  <c r="P17" i="1"/>
  <c r="O17" i="1"/>
  <c r="N17" i="1"/>
  <c r="M17" i="1"/>
  <c r="L17" i="1"/>
  <c r="K17" i="1"/>
  <c r="J17" i="1"/>
  <c r="I17" i="1"/>
  <c r="H17" i="1"/>
  <c r="G17" i="1"/>
  <c r="R16" i="1"/>
  <c r="Q16" i="1"/>
  <c r="P16" i="1"/>
  <c r="O16" i="1"/>
  <c r="N16" i="1"/>
  <c r="M16" i="1"/>
  <c r="L16" i="1"/>
  <c r="K16" i="1"/>
  <c r="J16" i="1"/>
  <c r="I16" i="1"/>
  <c r="H16" i="1"/>
  <c r="G16" i="1"/>
  <c r="R14" i="1"/>
  <c r="Q14" i="1"/>
  <c r="P14" i="1"/>
  <c r="O14" i="1"/>
  <c r="N14" i="1"/>
  <c r="M14" i="1"/>
  <c r="L14" i="1"/>
  <c r="K14" i="1"/>
  <c r="J14" i="1"/>
  <c r="I14" i="1"/>
  <c r="H14" i="1"/>
  <c r="G14" i="1"/>
  <c r="R8" i="1"/>
  <c r="Q8" i="1"/>
  <c r="P8" i="1"/>
  <c r="O8" i="1"/>
  <c r="N8" i="1"/>
  <c r="M8" i="1"/>
  <c r="L8" i="1"/>
  <c r="K8" i="1"/>
  <c r="J8" i="1"/>
  <c r="I8" i="1"/>
  <c r="H8" i="1"/>
  <c r="G8" i="1"/>
  <c r="R7" i="1"/>
  <c r="Q7" i="1"/>
  <c r="P7" i="1"/>
  <c r="O7" i="1"/>
  <c r="N7" i="1"/>
  <c r="M7" i="1"/>
  <c r="L7" i="1"/>
  <c r="K7" i="1"/>
  <c r="J7" i="1"/>
  <c r="I7" i="1"/>
  <c r="H7" i="1"/>
  <c r="G7" i="1"/>
  <c r="N6" i="1"/>
  <c r="M6" i="1"/>
  <c r="L6" i="1"/>
  <c r="K6" i="1"/>
  <c r="J6" i="1"/>
  <c r="I6" i="1"/>
  <c r="H6" i="1"/>
  <c r="G6" i="1"/>
  <c r="L4" i="1"/>
  <c r="J4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<sst xmlns="http://schemas.openxmlformats.org/spreadsheetml/2006/main" count="244" uniqueCount="87">
  <si>
    <t>Category Level 1</t>
  </si>
  <si>
    <t>Category Level 2</t>
  </si>
  <si>
    <t>Category Level 3</t>
  </si>
  <si>
    <t>Vendor</t>
  </si>
  <si>
    <t>Period Type</t>
  </si>
  <si>
    <t>Cost Type</t>
  </si>
  <si>
    <t>IT Fundamentals (Infrastructure)</t>
  </si>
  <si>
    <t>Actual</t>
  </si>
  <si>
    <t>BAU</t>
  </si>
  <si>
    <t>Networks &amp; Connectivity</t>
  </si>
  <si>
    <t>WAN</t>
  </si>
  <si>
    <t>Meraki</t>
  </si>
  <si>
    <t>LAN</t>
  </si>
  <si>
    <t>Internet</t>
  </si>
  <si>
    <t>Aussie BB</t>
  </si>
  <si>
    <t>Communications</t>
  </si>
  <si>
    <t>Mobile</t>
  </si>
  <si>
    <t>Telstra</t>
  </si>
  <si>
    <t>Fixed</t>
  </si>
  <si>
    <t>Fuse</t>
  </si>
  <si>
    <t>Fixed (MS Teams Licensing)</t>
  </si>
  <si>
    <t>Microsoft (Fuse Invoice)</t>
  </si>
  <si>
    <t>Teams Room (MS Teams Licensing)</t>
  </si>
  <si>
    <t>End-User Computing</t>
  </si>
  <si>
    <t>Laptops</t>
  </si>
  <si>
    <t>HP</t>
  </si>
  <si>
    <t>Desktops</t>
  </si>
  <si>
    <t>Peripherals</t>
  </si>
  <si>
    <t>Licensing</t>
  </si>
  <si>
    <t>M365 - Information Workers (Microsoft 365 Business Premium)</t>
  </si>
  <si>
    <t>Microsoft</t>
  </si>
  <si>
    <t>M365 - Mobile Workers (M365 F1, Defender O365 P1, O365 E1 No Teams)</t>
  </si>
  <si>
    <t>Adobe</t>
  </si>
  <si>
    <t>Exclaimer Email Signature Management</t>
  </si>
  <si>
    <t>Exclaimer</t>
  </si>
  <si>
    <t>Microsoft Copilot for Microsoft 365</t>
  </si>
  <si>
    <t>Visio Plan 2</t>
  </si>
  <si>
    <t>Exchange Online P2</t>
  </si>
  <si>
    <t>Extra file storage</t>
  </si>
  <si>
    <t>IT Operations &amp; Support</t>
  </si>
  <si>
    <t>Information Workers</t>
  </si>
  <si>
    <t>Mobile Workers</t>
  </si>
  <si>
    <t>CIO(aaS)</t>
  </si>
  <si>
    <t>TechElevate</t>
  </si>
  <si>
    <t>Business Continuity &amp; DR</t>
  </si>
  <si>
    <t>Backup</t>
  </si>
  <si>
    <t>Line of Business Applications</t>
  </si>
  <si>
    <t>Engineering Tools</t>
  </si>
  <si>
    <t>Bluebeam</t>
  </si>
  <si>
    <t>Field</t>
  </si>
  <si>
    <t>SAP FSM (Sandbox)</t>
  </si>
  <si>
    <t>SAP</t>
  </si>
  <si>
    <t>Finance &amp; ERP</t>
  </si>
  <si>
    <t>Expense Management (Concur)</t>
  </si>
  <si>
    <t>Reporting &amp; Analytics</t>
  </si>
  <si>
    <t>Fabric</t>
  </si>
  <si>
    <t>Power BI Licensing</t>
  </si>
  <si>
    <t>BI Reporting Support Services</t>
  </si>
  <si>
    <t>Data to Biz</t>
  </si>
  <si>
    <t>Specialist Applications</t>
  </si>
  <si>
    <t>MS Project</t>
  </si>
  <si>
    <t>Dataverse</t>
  </si>
  <si>
    <t>Power Apps</t>
  </si>
  <si>
    <t>LoB Application Support</t>
  </si>
  <si>
    <t>AutoTask Licence - Agent per User</t>
  </si>
  <si>
    <t>AutoDesk</t>
  </si>
  <si>
    <t>Support &amp; Maintenance (Jarvis - SAP/FSM)</t>
  </si>
  <si>
    <t>Jarvis</t>
  </si>
  <si>
    <t>Internal LoB Support Staff</t>
  </si>
  <si>
    <t>Internal Staff</t>
  </si>
  <si>
    <t>Head of Enterprise Systems</t>
  </si>
  <si>
    <t>User Counts</t>
  </si>
  <si>
    <t>User type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</si>
  <si>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</si>
  <si>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</si>
  <si>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</si>
  <si>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</si>
  <si>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</si>
  <si>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</si>
  <si>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</si>
  <si>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</si>
  <si>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</si>
  <si>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</si>
  <si>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</si>
  <si>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</si>
  <si>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IT Support Services - Information Workers (Office Workers)</t>
  </si>
  <si>
    <t>IT Support Services - Mobile Workers (Field 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</si>
</sst>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7" fontId="2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64" fontId="0" fillId="0" borderId="0" xfId="0" applyNumberForma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B028-63FE-4B66-ABA5-5102C29B86EA}">
  <dimension ref="A1:R52"/>
  <sheetViews>
    <sheetView tabSelected="1" workbookViewId="0">
      <selection activeCell="C22" sqref="C22"/>
    </sheetView>
  </sheetViews>
  <sheetFormatPr defaultColWidth="58" defaultRowHeight="14.5" x14ac:dyDescent="0.35"/>
  <cols>
    <col min="1" max="1" width="28.90625" bestFit="1" customWidth="1"/>
    <col min="2" max="2" width="35.26953125" bestFit="1" customWidth="1"/>
    <col min="3" max="3" width="57.54296875" bestFit="1" customWidth="1"/>
    <col min="4" max="4" width="19.36328125" bestFit="1" customWidth="1"/>
    <col min="5" max="5" width="11" bestFit="1" customWidth="1"/>
    <col min="6" max="6" width="9.08984375" bestFit="1" customWidth="1"/>
    <col min="7" max="18" width="7.3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45658</v>
      </c>
      <c r="H1" s="2">
        <v>45689</v>
      </c>
      <c r="I1" s="2">
        <v>45717</v>
      </c>
      <c r="J1" s="2">
        <v>45748</v>
      </c>
      <c r="K1" s="2">
        <v>45778</v>
      </c>
      <c r="L1" s="2">
        <v>45809</v>
      </c>
      <c r="M1" s="2">
        <v>45839</v>
      </c>
      <c r="N1" s="2">
        <v>45870</v>
      </c>
      <c r="O1" s="2">
        <v>45901</v>
      </c>
      <c r="P1" s="2">
        <v>45931</v>
      </c>
      <c r="Q1" s="2">
        <v>45962</v>
      </c>
      <c r="R1" s="2">
        <v>45992</v>
      </c>
    </row>
    <row r="2" spans="1:18" x14ac:dyDescent="0.35">
      <c r="A2" s="5" t="s">
        <v>6</v>
      </c>
      <c r="B2" s="5" t="s">
        <v>9</v>
      </c>
      <c r="C2" s="5" t="s">
        <v>10</v>
      </c>
      <c r="D2" s="6" t="s">
        <v>11</v>
      </c>
      <c r="E2" s="5" t="s">
        <v>7</v>
      </c>
      <c r="F2" s="5" t="s">
        <v>8</v>
      </c>
      <c r="G2" s="4">
        <f>185.8+165.42</f>
        <v>351.22</v>
      </c>
      <c r="H2" s="4">
        <f>185.8+165.42</f>
        <v>351.22</v>
      </c>
      <c r="I2" s="4">
        <f>185.8+165.42</f>
        <v>351.22</v>
      </c>
      <c r="J2" s="4">
        <f>185.8+165.42</f>
        <v>351.22</v>
      </c>
      <c r="K2" s="4">
        <f>185.8+165.42</f>
        <v>351.22</v>
      </c>
      <c r="L2" s="4">
        <f>185.8+165.42</f>
        <v>351.22</v>
      </c>
      <c r="M2" s="4">
        <f>185.8+165.42</f>
        <v>351.22</v>
      </c>
      <c r="N2" s="4">
        <f>185.8+165.42</f>
        <v>351.22</v>
      </c>
      <c r="O2" s="4">
        <f>185.8+165.42</f>
        <v>351.22</v>
      </c>
      <c r="P2" s="4">
        <f>185.8+165.42</f>
        <v>351.22</v>
      </c>
      <c r="Q2" s="4">
        <f>185.8+165.42</f>
        <v>351.22</v>
      </c>
      <c r="R2" s="4">
        <f>185.8+165.42</f>
        <v>351.22</v>
      </c>
    </row>
    <row r="3" spans="1:18" x14ac:dyDescent="0.35">
      <c r="A3" s="5" t="s">
        <v>6</v>
      </c>
      <c r="B3" s="5" t="s">
        <v>9</v>
      </c>
      <c r="C3" s="5" t="s">
        <v>12</v>
      </c>
      <c r="D3" s="6" t="s">
        <v>11</v>
      </c>
      <c r="E3" s="5" t="s">
        <v>7</v>
      </c>
      <c r="F3" s="5" t="s">
        <v>8</v>
      </c>
      <c r="G3" s="4">
        <v>165</v>
      </c>
      <c r="H3" s="4">
        <v>166</v>
      </c>
      <c r="I3" s="4">
        <v>167</v>
      </c>
      <c r="J3" s="4">
        <v>168</v>
      </c>
      <c r="K3" s="4">
        <v>169</v>
      </c>
      <c r="L3" s="4">
        <v>170</v>
      </c>
      <c r="M3" s="4">
        <v>171</v>
      </c>
      <c r="N3" s="4">
        <v>172</v>
      </c>
      <c r="O3" s="4">
        <v>173</v>
      </c>
      <c r="P3" s="4">
        <v>174</v>
      </c>
      <c r="Q3" s="4">
        <v>175</v>
      </c>
      <c r="R3" s="4">
        <v>176</v>
      </c>
    </row>
    <row r="4" spans="1:18" x14ac:dyDescent="0.35">
      <c r="A4" s="5" t="s">
        <v>6</v>
      </c>
      <c r="B4" s="5" t="s">
        <v>9</v>
      </c>
      <c r="C4" s="5" t="s">
        <v>13</v>
      </c>
      <c r="D4" s="5" t="s">
        <v>14</v>
      </c>
      <c r="E4" s="5" t="s">
        <v>7</v>
      </c>
      <c r="F4" s="5" t="s">
        <v>8</v>
      </c>
      <c r="G4" s="4">
        <v>3294.0000000000005</v>
      </c>
      <c r="H4" s="4">
        <v>3294.0000000000005</v>
      </c>
      <c r="I4" s="4">
        <v>3294.0000000000005</v>
      </c>
      <c r="J4" s="4">
        <f>3389.45+79.55</f>
        <v>3469</v>
      </c>
      <c r="K4" s="4">
        <v>3389.45</v>
      </c>
      <c r="L4" s="4">
        <f>3470.36+40.45</f>
        <v>3510.81</v>
      </c>
      <c r="M4" s="4">
        <v>3470.3636363636365</v>
      </c>
      <c r="N4" s="4">
        <v>3470.3636363636365</v>
      </c>
      <c r="O4" s="4">
        <v>3470.3636363636365</v>
      </c>
      <c r="P4" s="4">
        <v>3470.3636363636365</v>
      </c>
      <c r="Q4" s="4">
        <v>3470.3636363636365</v>
      </c>
      <c r="R4" s="4">
        <v>3470.3636363636365</v>
      </c>
    </row>
    <row r="5" spans="1:18" x14ac:dyDescent="0.35">
      <c r="A5" s="5" t="s">
        <v>6</v>
      </c>
      <c r="B5" s="5" t="s">
        <v>15</v>
      </c>
      <c r="C5" s="5" t="s">
        <v>16</v>
      </c>
      <c r="D5" s="5" t="s">
        <v>17</v>
      </c>
      <c r="E5" s="5" t="s">
        <v>7</v>
      </c>
      <c r="F5" s="5" t="s">
        <v>8</v>
      </c>
      <c r="G5" s="4">
        <v>17911.759999999998</v>
      </c>
      <c r="H5" s="4">
        <v>18637.939999999999</v>
      </c>
      <c r="I5" s="4">
        <v>18924.84</v>
      </c>
      <c r="J5" s="4">
        <v>25312.880000000001</v>
      </c>
      <c r="K5" s="4">
        <v>24720.26</v>
      </c>
      <c r="L5" s="4">
        <v>23417.279999999999</v>
      </c>
      <c r="M5" s="4">
        <v>24198.35</v>
      </c>
      <c r="N5" s="4">
        <v>24336.28</v>
      </c>
      <c r="O5" s="4">
        <v>22336.69</v>
      </c>
      <c r="P5" s="4">
        <v>25727.22</v>
      </c>
      <c r="Q5" s="4">
        <v>25928.080000000002</v>
      </c>
      <c r="R5" s="4">
        <v>25058.080000000002</v>
      </c>
    </row>
    <row r="6" spans="1:18" x14ac:dyDescent="0.35">
      <c r="A6" s="5" t="s">
        <v>6</v>
      </c>
      <c r="B6" s="5" t="s">
        <v>15</v>
      </c>
      <c r="C6" s="5" t="s">
        <v>18</v>
      </c>
      <c r="D6" s="5" t="s">
        <v>19</v>
      </c>
      <c r="E6" s="5" t="s">
        <v>7</v>
      </c>
      <c r="F6" s="5" t="s">
        <v>8</v>
      </c>
      <c r="G6" s="4">
        <f>1155.45+13.25</f>
        <v>1168.7</v>
      </c>
      <c r="H6" s="4">
        <f>1155.45+13.25</f>
        <v>1168.7</v>
      </c>
      <c r="I6" s="4">
        <f>1155.45+13.25</f>
        <v>1168.7</v>
      </c>
      <c r="J6" s="4">
        <f>1271+8.7</f>
        <v>1279.7</v>
      </c>
      <c r="K6" s="4">
        <f>1155.45+9.9</f>
        <v>1165.3500000000001</v>
      </c>
      <c r="L6" s="4">
        <f>1155.45+8.46</f>
        <v>1163.9100000000001</v>
      </c>
      <c r="M6" s="4">
        <f>1155.45+13.52</f>
        <v>1168.97</v>
      </c>
      <c r="N6" s="4">
        <f>1155.45+9.74</f>
        <v>1165.19</v>
      </c>
      <c r="O6" s="4">
        <v>1178.75</v>
      </c>
      <c r="P6" s="4">
        <v>1171.6300000000001</v>
      </c>
      <c r="Q6" s="4">
        <v>1165.55</v>
      </c>
      <c r="R6" s="4"/>
    </row>
    <row r="7" spans="1:18" x14ac:dyDescent="0.35">
      <c r="A7" s="5" t="s">
        <v>6</v>
      </c>
      <c r="B7" s="5" t="s">
        <v>15</v>
      </c>
      <c r="C7" s="5" t="s">
        <v>20</v>
      </c>
      <c r="D7" s="5" t="s">
        <v>21</v>
      </c>
      <c r="E7" s="5" t="s">
        <v>7</v>
      </c>
      <c r="F7" s="5" t="s">
        <v>8</v>
      </c>
      <c r="G7" s="4">
        <f t="shared" ref="G7:H7" si="0">4884.7/3</f>
        <v>1628.2333333333333</v>
      </c>
      <c r="H7" s="4">
        <f t="shared" si="0"/>
        <v>1628.2333333333333</v>
      </c>
      <c r="I7" s="4">
        <f>4884.7/3</f>
        <v>1628.2333333333333</v>
      </c>
      <c r="J7" s="4">
        <f t="shared" ref="J7:P7" si="1">4884.7/3</f>
        <v>1628.2333333333333</v>
      </c>
      <c r="K7" s="4">
        <f t="shared" si="1"/>
        <v>1628.2333333333333</v>
      </c>
      <c r="L7" s="4">
        <f t="shared" si="1"/>
        <v>1628.2333333333333</v>
      </c>
      <c r="M7" s="4">
        <f t="shared" si="1"/>
        <v>1628.2333333333333</v>
      </c>
      <c r="N7" s="4">
        <f t="shared" si="1"/>
        <v>1628.2333333333333</v>
      </c>
      <c r="O7" s="4">
        <f t="shared" si="1"/>
        <v>1628.2333333333333</v>
      </c>
      <c r="P7" s="4">
        <f t="shared" si="1"/>
        <v>1628.2333333333333</v>
      </c>
      <c r="Q7" s="4">
        <f>65*12</f>
        <v>780</v>
      </c>
      <c r="R7" s="4">
        <f t="shared" ref="R7" si="2">4884.7/3</f>
        <v>1628.2333333333333</v>
      </c>
    </row>
    <row r="8" spans="1:18" x14ac:dyDescent="0.35">
      <c r="A8" s="5" t="s">
        <v>6</v>
      </c>
      <c r="B8" s="5" t="s">
        <v>15</v>
      </c>
      <c r="C8" s="5" t="s">
        <v>22</v>
      </c>
      <c r="D8" s="5" t="s">
        <v>21</v>
      </c>
      <c r="E8" s="5" t="s">
        <v>7</v>
      </c>
      <c r="F8" s="5" t="s">
        <v>8</v>
      </c>
      <c r="G8" s="4">
        <f>3234.6/3</f>
        <v>1078.2</v>
      </c>
      <c r="H8" s="4">
        <f t="shared" ref="H8:R8" si="3">3234.6/3</f>
        <v>1078.2</v>
      </c>
      <c r="I8" s="4">
        <f t="shared" si="3"/>
        <v>1078.2</v>
      </c>
      <c r="J8" s="4">
        <f t="shared" si="3"/>
        <v>1078.2</v>
      </c>
      <c r="K8" s="4">
        <f t="shared" si="3"/>
        <v>1078.2</v>
      </c>
      <c r="L8" s="4">
        <f t="shared" si="3"/>
        <v>1078.2</v>
      </c>
      <c r="M8" s="4">
        <f t="shared" si="3"/>
        <v>1078.2</v>
      </c>
      <c r="N8" s="4">
        <f t="shared" si="3"/>
        <v>1078.2</v>
      </c>
      <c r="O8" s="4">
        <f t="shared" si="3"/>
        <v>1078.2</v>
      </c>
      <c r="P8" s="4">
        <f t="shared" si="3"/>
        <v>1078.2</v>
      </c>
      <c r="Q8" s="4">
        <f t="shared" si="3"/>
        <v>1078.2</v>
      </c>
      <c r="R8" s="4">
        <f t="shared" si="3"/>
        <v>1078.2</v>
      </c>
    </row>
    <row r="9" spans="1:18" x14ac:dyDescent="0.35">
      <c r="A9" s="5" t="s">
        <v>6</v>
      </c>
      <c r="B9" s="5" t="s">
        <v>23</v>
      </c>
      <c r="C9" s="5" t="s">
        <v>24</v>
      </c>
      <c r="D9" s="5" t="s">
        <v>25</v>
      </c>
      <c r="E9" s="5" t="s">
        <v>7</v>
      </c>
      <c r="F9" s="5" t="s">
        <v>8</v>
      </c>
      <c r="G9" s="4">
        <f>3000*(SUM(G51:G52))*0.65/36</f>
        <v>22533.333333333332</v>
      </c>
      <c r="H9" s="4">
        <f>3000*(SUM(H51:H52))*0.65/36</f>
        <v>22750</v>
      </c>
      <c r="I9" s="4">
        <f>3000*(SUM(I51:I52))*0.65/36</f>
        <v>23725</v>
      </c>
      <c r="J9" s="4">
        <f>3000*(SUM(J51:J52))*0.65/36</f>
        <v>24212.5</v>
      </c>
      <c r="K9" s="4">
        <f>3000*(SUM(K51:K52))*0.65/36</f>
        <v>24375</v>
      </c>
      <c r="L9" s="4">
        <f>3000*(SUM(L51:L52))*0.65/36</f>
        <v>23291.666666666668</v>
      </c>
      <c r="M9" s="4">
        <f>3000*(SUM(M51:M52))*0.65/36</f>
        <v>23508.333333333332</v>
      </c>
      <c r="N9" s="4">
        <f>3000*(SUM(N51:N52))*0.65/36</f>
        <v>23345.833333333332</v>
      </c>
      <c r="O9" s="4">
        <f>3000*(SUM(O51:O52))*0.65/36</f>
        <v>23562.5</v>
      </c>
      <c r="P9" s="4">
        <f>3000*(SUM(P51:P52))*0.65/36</f>
        <v>23508.333333333332</v>
      </c>
      <c r="Q9" s="4">
        <f>3000*(SUM(Q51:Q52))*0.65/36</f>
        <v>22695.833333333332</v>
      </c>
      <c r="R9" s="4">
        <f>3000*(SUM(R51:R52))*0.65/36</f>
        <v>21450</v>
      </c>
    </row>
    <row r="10" spans="1:18" x14ac:dyDescent="0.35">
      <c r="A10" s="5" t="s">
        <v>6</v>
      </c>
      <c r="B10" s="5" t="s">
        <v>23</v>
      </c>
      <c r="C10" s="5" t="s">
        <v>26</v>
      </c>
      <c r="D10" s="5" t="s">
        <v>25</v>
      </c>
      <c r="E10" s="5" t="s">
        <v>7</v>
      </c>
      <c r="F10" s="5" t="s">
        <v>8</v>
      </c>
      <c r="G10" s="4">
        <f>2500*(SUM(G51:G52))*0.35/48</f>
        <v>7583.333333333333</v>
      </c>
      <c r="H10" s="4">
        <f>2500*(SUM(H51:H52))*0.35/48</f>
        <v>7656.25</v>
      </c>
      <c r="I10" s="4">
        <f>2500*(SUM(I51:I52))*0.35/48</f>
        <v>7984.375</v>
      </c>
      <c r="J10" s="4">
        <f>2500*(SUM(J51:J52))*0.35/48</f>
        <v>8148.4375</v>
      </c>
      <c r="K10" s="4">
        <f>2500*(SUM(K51:K52))*0.35/48</f>
        <v>8203.125</v>
      </c>
      <c r="L10" s="4">
        <f>2500*(SUM(L51:L52))*0.35/48</f>
        <v>7838.541666666667</v>
      </c>
      <c r="M10" s="4">
        <f>2500*(SUM(M51:M52))*0.35/48</f>
        <v>7911.458333333333</v>
      </c>
      <c r="N10" s="4">
        <f>2500*(SUM(N51:N52))*0.35/48</f>
        <v>7856.770833333333</v>
      </c>
      <c r="O10" s="4">
        <f>2500*(SUM(O51:O52))*0.35/48</f>
        <v>7929.6875</v>
      </c>
      <c r="P10" s="4">
        <f>2500*(SUM(P51:P52))*0.35/48</f>
        <v>7911.458333333333</v>
      </c>
      <c r="Q10" s="4">
        <f>2500*(SUM(Q51:Q52))*0.35/48</f>
        <v>7638.020833333333</v>
      </c>
      <c r="R10" s="4">
        <f>2500*(SUM(R51:R52))*0.35/48</f>
        <v>7218.75</v>
      </c>
    </row>
    <row r="11" spans="1:18" x14ac:dyDescent="0.35">
      <c r="A11" s="5" t="s">
        <v>6</v>
      </c>
      <c r="B11" s="5" t="s">
        <v>23</v>
      </c>
      <c r="C11" s="5" t="s">
        <v>27</v>
      </c>
      <c r="D11" s="5" t="s">
        <v>25</v>
      </c>
      <c r="E11" s="5" t="s">
        <v>7</v>
      </c>
      <c r="F11" s="5" t="s">
        <v>8</v>
      </c>
      <c r="G11" s="4">
        <f>5*(SUM(G51:G52))</f>
        <v>2080</v>
      </c>
      <c r="H11" s="4">
        <f>5*(SUM(H51:H52))</f>
        <v>2100</v>
      </c>
      <c r="I11" s="4">
        <f>5*(SUM(I51:I52))</f>
        <v>2190</v>
      </c>
      <c r="J11" s="4">
        <f>5*(SUM(J51:J52))</f>
        <v>2235</v>
      </c>
      <c r="K11" s="4">
        <f>5*(SUM(K51:K52))</f>
        <v>2250</v>
      </c>
      <c r="L11" s="4">
        <f>5*(SUM(L51:L52))</f>
        <v>2150</v>
      </c>
      <c r="M11" s="4">
        <f>5*(SUM(M51:M52))</f>
        <v>2170</v>
      </c>
      <c r="N11" s="4">
        <f>5*(SUM(N51:N52))</f>
        <v>2155</v>
      </c>
      <c r="O11" s="4">
        <f>5*(SUM(O51:O52))</f>
        <v>2175</v>
      </c>
      <c r="P11" s="4">
        <f>5*(SUM(P51:P52))</f>
        <v>2170</v>
      </c>
      <c r="Q11" s="4">
        <f>5*(SUM(Q51:Q52))</f>
        <v>2095</v>
      </c>
      <c r="R11" s="4">
        <f>5*(SUM(R51:R52))</f>
        <v>1980</v>
      </c>
    </row>
    <row r="12" spans="1:18" x14ac:dyDescent="0.35">
      <c r="A12" s="5" t="s">
        <v>6</v>
      </c>
      <c r="B12" s="5" t="s">
        <v>28</v>
      </c>
      <c r="C12" s="5" t="s">
        <v>29</v>
      </c>
      <c r="D12" s="5" t="s">
        <v>30</v>
      </c>
      <c r="E12" s="5" t="s">
        <v>7</v>
      </c>
      <c r="F12" s="5" t="s">
        <v>8</v>
      </c>
      <c r="G12" s="4">
        <f>32.9*G51+(0.1*G51*32.9*0.2)</f>
        <v>6778.7159999999994</v>
      </c>
      <c r="H12" s="4">
        <f t="shared" ref="H12:R12" si="4">32.9*H51+(0.1*H51*32.9*0.2)</f>
        <v>6845.8319999999994</v>
      </c>
      <c r="I12" s="4">
        <f t="shared" si="4"/>
        <v>7516.9919999999993</v>
      </c>
      <c r="J12" s="4">
        <f t="shared" si="4"/>
        <v>7684.7819999999992</v>
      </c>
      <c r="K12" s="4">
        <f t="shared" si="4"/>
        <v>7449.8759999999993</v>
      </c>
      <c r="L12" s="4">
        <f t="shared" si="4"/>
        <v>7114.2959999999994</v>
      </c>
      <c r="M12" s="4">
        <f t="shared" si="4"/>
        <v>7248.5279999999993</v>
      </c>
      <c r="N12" s="4">
        <f t="shared" si="4"/>
        <v>7147.8539999999994</v>
      </c>
      <c r="O12" s="4">
        <f t="shared" si="4"/>
        <v>7282.0859999999993</v>
      </c>
      <c r="P12" s="4">
        <f t="shared" si="4"/>
        <v>7382.76</v>
      </c>
      <c r="Q12" s="4">
        <f t="shared" si="4"/>
        <v>7114.2959999999994</v>
      </c>
      <c r="R12" s="4">
        <f t="shared" si="4"/>
        <v>6644.4839999999995</v>
      </c>
    </row>
    <row r="13" spans="1:18" x14ac:dyDescent="0.35">
      <c r="A13" s="5" t="s">
        <v>6</v>
      </c>
      <c r="B13" s="5" t="s">
        <v>28</v>
      </c>
      <c r="C13" s="5" t="s">
        <v>31</v>
      </c>
      <c r="D13" s="5" t="s">
        <v>30</v>
      </c>
      <c r="E13" s="5" t="s">
        <v>7</v>
      </c>
      <c r="F13" s="5" t="s">
        <v>8</v>
      </c>
      <c r="G13" s="4">
        <f>17.2*G52+(0.1*G52*17.2*0.2)</f>
        <v>3754.4159999999997</v>
      </c>
      <c r="H13" s="4">
        <f t="shared" ref="H13:R13" si="5">17.2*H52+(0.1*H52*17.2*0.2)</f>
        <v>3789.5039999999999</v>
      </c>
      <c r="I13" s="4">
        <f t="shared" si="5"/>
        <v>3754.4159999999997</v>
      </c>
      <c r="J13" s="4">
        <f t="shared" si="5"/>
        <v>3824.5920000000001</v>
      </c>
      <c r="K13" s="4">
        <f t="shared" si="5"/>
        <v>4000.0319999999997</v>
      </c>
      <c r="L13" s="4">
        <f t="shared" si="5"/>
        <v>3824.5920000000001</v>
      </c>
      <c r="M13" s="4">
        <f t="shared" si="5"/>
        <v>3824.5920000000001</v>
      </c>
      <c r="N13" s="4">
        <f t="shared" si="5"/>
        <v>3824.5920000000001</v>
      </c>
      <c r="O13" s="4">
        <f t="shared" si="5"/>
        <v>3824.5920000000001</v>
      </c>
      <c r="P13" s="4">
        <f t="shared" si="5"/>
        <v>3754.4159999999997</v>
      </c>
      <c r="Q13" s="4">
        <f t="shared" si="5"/>
        <v>3631.6079999999997</v>
      </c>
      <c r="R13" s="4">
        <f t="shared" si="5"/>
        <v>3473.712</v>
      </c>
    </row>
    <row r="14" spans="1:18" x14ac:dyDescent="0.35">
      <c r="A14" s="5" t="s">
        <v>6</v>
      </c>
      <c r="B14" s="5" t="s">
        <v>28</v>
      </c>
      <c r="C14" s="5" t="s">
        <v>32</v>
      </c>
      <c r="D14" s="5" t="s">
        <v>32</v>
      </c>
      <c r="E14" s="5" t="s">
        <v>7</v>
      </c>
      <c r="F14" s="5" t="s">
        <v>8</v>
      </c>
      <c r="G14" s="4">
        <f>45512.9/12</f>
        <v>3792.7416666666668</v>
      </c>
      <c r="H14" s="4">
        <f t="shared" ref="H14:R14" si="6">45512.9/12</f>
        <v>3792.7416666666668</v>
      </c>
      <c r="I14" s="4">
        <f t="shared" si="6"/>
        <v>3792.7416666666668</v>
      </c>
      <c r="J14" s="4">
        <f t="shared" si="6"/>
        <v>3792.7416666666668</v>
      </c>
      <c r="K14" s="4">
        <f t="shared" si="6"/>
        <v>3792.7416666666668</v>
      </c>
      <c r="L14" s="4">
        <f t="shared" si="6"/>
        <v>3792.7416666666668</v>
      </c>
      <c r="M14" s="4">
        <f t="shared" si="6"/>
        <v>3792.7416666666668</v>
      </c>
      <c r="N14" s="4">
        <f t="shared" si="6"/>
        <v>3792.7416666666668</v>
      </c>
      <c r="O14" s="4">
        <f t="shared" si="6"/>
        <v>3792.7416666666668</v>
      </c>
      <c r="P14" s="4">
        <f t="shared" si="6"/>
        <v>3792.7416666666668</v>
      </c>
      <c r="Q14" s="4">
        <f t="shared" si="6"/>
        <v>3792.7416666666668</v>
      </c>
      <c r="R14" s="4">
        <f t="shared" si="6"/>
        <v>3792.7416666666668</v>
      </c>
    </row>
    <row r="15" spans="1:18" x14ac:dyDescent="0.35">
      <c r="A15" s="5" t="s">
        <v>6</v>
      </c>
      <c r="B15" s="5" t="s">
        <v>28</v>
      </c>
      <c r="C15" s="5" t="s">
        <v>33</v>
      </c>
      <c r="D15" s="5" t="s">
        <v>34</v>
      </c>
      <c r="E15" s="5" t="s">
        <v>7</v>
      </c>
      <c r="F15" s="5" t="s">
        <v>8</v>
      </c>
      <c r="G15" s="4">
        <f>1.95*(SUM(G51:G52))</f>
        <v>811.19999999999993</v>
      </c>
      <c r="H15" s="4">
        <f>1.95*(SUM(H51:H52))</f>
        <v>819</v>
      </c>
      <c r="I15" s="4">
        <f>1.95*(SUM(I51:I52))</f>
        <v>854.1</v>
      </c>
      <c r="J15" s="4">
        <f>1.95*(SUM(J51:J52))</f>
        <v>871.65</v>
      </c>
      <c r="K15" s="4">
        <f>1.95*(SUM(K51:K52))</f>
        <v>877.5</v>
      </c>
      <c r="L15" s="4">
        <f>1.95*(SUM(L51:L52))</f>
        <v>838.5</v>
      </c>
      <c r="M15" s="4">
        <f>1.95*(SUM(M51:M52))</f>
        <v>846.3</v>
      </c>
      <c r="N15" s="4">
        <f>1.95*(SUM(N51:N52))</f>
        <v>840.44999999999993</v>
      </c>
      <c r="O15" s="4">
        <f>1.95*(SUM(O51:O52))</f>
        <v>848.25</v>
      </c>
      <c r="P15" s="4">
        <f>1.95*(SUM(P51:P52))</f>
        <v>846.3</v>
      </c>
      <c r="Q15" s="4">
        <f>1.95*(SUM(Q51:Q52))</f>
        <v>817.05</v>
      </c>
      <c r="R15" s="4">
        <f>1.95*(SUM(R51:R52))</f>
        <v>772.19999999999993</v>
      </c>
    </row>
    <row r="16" spans="1:18" x14ac:dyDescent="0.35">
      <c r="A16" s="5" t="s">
        <v>6</v>
      </c>
      <c r="B16" s="5" t="s">
        <v>28</v>
      </c>
      <c r="C16" s="5" t="s">
        <v>35</v>
      </c>
      <c r="D16" s="5" t="s">
        <v>30</v>
      </c>
      <c r="E16" s="5" t="s">
        <v>7</v>
      </c>
      <c r="F16" s="5" t="s">
        <v>8</v>
      </c>
      <c r="G16" s="4">
        <f>539*3/12</f>
        <v>134.75</v>
      </c>
      <c r="H16" s="4">
        <f t="shared" ref="H16:R16" si="7">539*3/12</f>
        <v>134.75</v>
      </c>
      <c r="I16" s="4">
        <f t="shared" si="7"/>
        <v>134.75</v>
      </c>
      <c r="J16" s="4">
        <f t="shared" si="7"/>
        <v>134.75</v>
      </c>
      <c r="K16" s="4">
        <f t="shared" si="7"/>
        <v>134.75</v>
      </c>
      <c r="L16" s="4">
        <f t="shared" si="7"/>
        <v>134.75</v>
      </c>
      <c r="M16" s="4">
        <f t="shared" si="7"/>
        <v>134.75</v>
      </c>
      <c r="N16" s="4">
        <f t="shared" si="7"/>
        <v>134.75</v>
      </c>
      <c r="O16" s="4">
        <f t="shared" si="7"/>
        <v>134.75</v>
      </c>
      <c r="P16" s="4">
        <f t="shared" si="7"/>
        <v>134.75</v>
      </c>
      <c r="Q16" s="4">
        <f t="shared" si="7"/>
        <v>134.75</v>
      </c>
      <c r="R16" s="4">
        <f t="shared" si="7"/>
        <v>134.75</v>
      </c>
    </row>
    <row r="17" spans="1:18" x14ac:dyDescent="0.35">
      <c r="A17" s="5" t="s">
        <v>6</v>
      </c>
      <c r="B17" s="5" t="s">
        <v>28</v>
      </c>
      <c r="C17" s="5" t="s">
        <v>36</v>
      </c>
      <c r="D17" s="5" t="s">
        <v>30</v>
      </c>
      <c r="E17" s="5" t="s">
        <v>7</v>
      </c>
      <c r="F17" s="5" t="s">
        <v>8</v>
      </c>
      <c r="G17" s="4">
        <f>268.8/3</f>
        <v>89.600000000000009</v>
      </c>
      <c r="H17" s="4">
        <f t="shared" ref="H17:R17" si="8">268.8/3</f>
        <v>89.600000000000009</v>
      </c>
      <c r="I17" s="4">
        <f t="shared" si="8"/>
        <v>89.600000000000009</v>
      </c>
      <c r="J17" s="4">
        <f t="shared" si="8"/>
        <v>89.600000000000009</v>
      </c>
      <c r="K17" s="4">
        <f t="shared" si="8"/>
        <v>89.600000000000009</v>
      </c>
      <c r="L17" s="4">
        <f t="shared" si="8"/>
        <v>89.600000000000009</v>
      </c>
      <c r="M17" s="4">
        <f t="shared" si="8"/>
        <v>89.600000000000009</v>
      </c>
      <c r="N17" s="4">
        <f t="shared" si="8"/>
        <v>89.600000000000009</v>
      </c>
      <c r="O17" s="4">
        <f t="shared" si="8"/>
        <v>89.600000000000009</v>
      </c>
      <c r="P17" s="4">
        <f t="shared" si="8"/>
        <v>89.600000000000009</v>
      </c>
      <c r="Q17" s="4">
        <f t="shared" si="8"/>
        <v>89.600000000000009</v>
      </c>
      <c r="R17" s="4">
        <f t="shared" si="8"/>
        <v>89.600000000000009</v>
      </c>
    </row>
    <row r="18" spans="1:18" x14ac:dyDescent="0.35">
      <c r="A18" s="5" t="s">
        <v>6</v>
      </c>
      <c r="B18" s="5" t="s">
        <v>28</v>
      </c>
      <c r="C18" s="5" t="s">
        <v>37</v>
      </c>
      <c r="D18" s="5" t="s">
        <v>30</v>
      </c>
      <c r="E18" s="5" t="s">
        <v>7</v>
      </c>
      <c r="F18" s="5" t="s">
        <v>8</v>
      </c>
      <c r="G18" s="4">
        <f>684.07/3</f>
        <v>228.02333333333334</v>
      </c>
      <c r="H18" s="4">
        <f t="shared" ref="H18:R18" si="9">684.07/3</f>
        <v>228.02333333333334</v>
      </c>
      <c r="I18" s="4">
        <f t="shared" si="9"/>
        <v>228.02333333333334</v>
      </c>
      <c r="J18" s="4">
        <f t="shared" si="9"/>
        <v>228.02333333333334</v>
      </c>
      <c r="K18" s="4">
        <f t="shared" si="9"/>
        <v>228.02333333333334</v>
      </c>
      <c r="L18" s="4">
        <f t="shared" si="9"/>
        <v>228.02333333333334</v>
      </c>
      <c r="M18" s="4">
        <f t="shared" si="9"/>
        <v>228.02333333333334</v>
      </c>
      <c r="N18" s="4">
        <f t="shared" si="9"/>
        <v>228.02333333333334</v>
      </c>
      <c r="O18" s="4">
        <f t="shared" si="9"/>
        <v>228.02333333333334</v>
      </c>
      <c r="P18" s="4">
        <f t="shared" si="9"/>
        <v>228.02333333333334</v>
      </c>
      <c r="Q18" s="4">
        <f t="shared" si="9"/>
        <v>228.02333333333334</v>
      </c>
      <c r="R18" s="4">
        <f t="shared" si="9"/>
        <v>228.02333333333334</v>
      </c>
    </row>
    <row r="19" spans="1:18" x14ac:dyDescent="0.35">
      <c r="A19" s="5" t="s">
        <v>6</v>
      </c>
      <c r="B19" s="5" t="s">
        <v>28</v>
      </c>
      <c r="C19" s="5" t="s">
        <v>38</v>
      </c>
      <c r="D19" s="5" t="s">
        <v>30</v>
      </c>
      <c r="E19" s="5" t="s">
        <v>7</v>
      </c>
      <c r="F19" s="5" t="s">
        <v>8</v>
      </c>
      <c r="G19" s="4">
        <f>1573.35/3</f>
        <v>524.44999999999993</v>
      </c>
      <c r="H19" s="4">
        <f t="shared" ref="H19:R19" si="10">1573.35/3</f>
        <v>524.44999999999993</v>
      </c>
      <c r="I19" s="4">
        <f t="shared" si="10"/>
        <v>524.44999999999993</v>
      </c>
      <c r="J19" s="4">
        <f t="shared" si="10"/>
        <v>524.44999999999993</v>
      </c>
      <c r="K19" s="4">
        <f t="shared" si="10"/>
        <v>524.44999999999993</v>
      </c>
      <c r="L19" s="4">
        <f t="shared" si="10"/>
        <v>524.44999999999993</v>
      </c>
      <c r="M19" s="4">
        <f t="shared" si="10"/>
        <v>524.44999999999993</v>
      </c>
      <c r="N19" s="4">
        <f t="shared" si="10"/>
        <v>524.44999999999993</v>
      </c>
      <c r="O19" s="4">
        <f t="shared" si="10"/>
        <v>524.44999999999993</v>
      </c>
      <c r="P19" s="4">
        <f t="shared" si="10"/>
        <v>524.44999999999993</v>
      </c>
      <c r="Q19" s="4">
        <f t="shared" si="10"/>
        <v>524.44999999999993</v>
      </c>
      <c r="R19" s="4">
        <f t="shared" si="10"/>
        <v>524.44999999999993</v>
      </c>
    </row>
    <row r="20" spans="1:18" x14ac:dyDescent="0.35">
      <c r="A20" s="5" t="s">
        <v>6</v>
      </c>
      <c r="B20" s="5" t="s">
        <v>39</v>
      </c>
      <c r="C20" t="s">
        <v>85</v>
      </c>
      <c r="D20" s="5" t="s">
        <v>19</v>
      </c>
      <c r="E20" s="5" t="s">
        <v>7</v>
      </c>
      <c r="F20" s="5" t="s">
        <v>8</v>
      </c>
      <c r="G20" s="4">
        <f>140*G51</f>
        <v>28280</v>
      </c>
      <c r="H20" s="4">
        <f t="shared" ref="H20:R20" si="11">140*H51</f>
        <v>28560</v>
      </c>
      <c r="I20" s="4">
        <f t="shared" si="11"/>
        <v>31360</v>
      </c>
      <c r="J20" s="4">
        <f t="shared" si="11"/>
        <v>32060</v>
      </c>
      <c r="K20" s="4">
        <f t="shared" si="11"/>
        <v>31080</v>
      </c>
      <c r="L20" s="4">
        <f t="shared" si="11"/>
        <v>29680</v>
      </c>
      <c r="M20" s="4">
        <f t="shared" si="11"/>
        <v>30240</v>
      </c>
      <c r="N20" s="4">
        <f t="shared" si="11"/>
        <v>29820</v>
      </c>
      <c r="O20" s="4">
        <f t="shared" si="11"/>
        <v>30380</v>
      </c>
      <c r="P20" s="4">
        <f t="shared" si="11"/>
        <v>30800</v>
      </c>
      <c r="Q20" s="4">
        <f t="shared" si="11"/>
        <v>29680</v>
      </c>
      <c r="R20" s="4">
        <f t="shared" si="11"/>
        <v>27720</v>
      </c>
    </row>
    <row r="21" spans="1:18" x14ac:dyDescent="0.35">
      <c r="A21" s="5" t="s">
        <v>6</v>
      </c>
      <c r="B21" s="5" t="s">
        <v>39</v>
      </c>
      <c r="C21" t="s">
        <v>86</v>
      </c>
      <c r="D21" s="5" t="s">
        <v>19</v>
      </c>
      <c r="E21" s="5" t="s">
        <v>7</v>
      </c>
      <c r="F21" s="5" t="s">
        <v>8</v>
      </c>
      <c r="G21" s="4">
        <f>48*G52</f>
        <v>10272</v>
      </c>
      <c r="H21" s="4">
        <f t="shared" ref="H21:R21" si="12">48*H52</f>
        <v>10368</v>
      </c>
      <c r="I21" s="4">
        <f t="shared" si="12"/>
        <v>10272</v>
      </c>
      <c r="J21" s="4">
        <f t="shared" si="12"/>
        <v>10464</v>
      </c>
      <c r="K21" s="4">
        <f t="shared" si="12"/>
        <v>10944</v>
      </c>
      <c r="L21" s="4">
        <f t="shared" si="12"/>
        <v>10464</v>
      </c>
      <c r="M21" s="4">
        <f t="shared" si="12"/>
        <v>10464</v>
      </c>
      <c r="N21" s="4">
        <f t="shared" si="12"/>
        <v>10464</v>
      </c>
      <c r="O21" s="4">
        <f t="shared" si="12"/>
        <v>10464</v>
      </c>
      <c r="P21" s="4">
        <f t="shared" si="12"/>
        <v>10272</v>
      </c>
      <c r="Q21" s="4">
        <f t="shared" si="12"/>
        <v>9936</v>
      </c>
      <c r="R21" s="4">
        <f t="shared" si="12"/>
        <v>9504</v>
      </c>
    </row>
    <row r="22" spans="1:18" x14ac:dyDescent="0.35">
      <c r="A22" s="5" t="s">
        <v>6</v>
      </c>
      <c r="B22" s="5" t="s">
        <v>39</v>
      </c>
      <c r="C22" s="5" t="s">
        <v>42</v>
      </c>
      <c r="D22" s="5" t="s">
        <v>43</v>
      </c>
      <c r="E22" s="5" t="s">
        <v>7</v>
      </c>
      <c r="F22" s="5" t="s">
        <v>8</v>
      </c>
      <c r="G22" s="4">
        <v>21000</v>
      </c>
      <c r="H22" s="4">
        <v>21000</v>
      </c>
      <c r="I22" s="4">
        <v>21000</v>
      </c>
      <c r="J22" s="4">
        <v>21000</v>
      </c>
      <c r="K22" s="4">
        <v>21000</v>
      </c>
      <c r="L22" s="4">
        <v>21000</v>
      </c>
      <c r="M22" s="4">
        <v>21000</v>
      </c>
      <c r="N22" s="4">
        <v>21000</v>
      </c>
      <c r="O22" s="4">
        <v>21000</v>
      </c>
      <c r="P22" s="4">
        <v>21000</v>
      </c>
      <c r="Q22" s="4">
        <v>21000</v>
      </c>
      <c r="R22" s="4">
        <v>21000</v>
      </c>
    </row>
    <row r="23" spans="1:18" x14ac:dyDescent="0.35">
      <c r="A23" s="5" t="s">
        <v>6</v>
      </c>
      <c r="B23" s="5" t="s">
        <v>44</v>
      </c>
      <c r="C23" s="5" t="s">
        <v>45</v>
      </c>
      <c r="D23" s="5" t="s">
        <v>19</v>
      </c>
      <c r="E23" s="5" t="s">
        <v>7</v>
      </c>
      <c r="F23" s="5" t="s">
        <v>8</v>
      </c>
      <c r="G23" s="4">
        <v>50</v>
      </c>
      <c r="H23" s="4">
        <v>50</v>
      </c>
      <c r="I23" s="4">
        <v>50</v>
      </c>
      <c r="J23" s="4">
        <v>50</v>
      </c>
      <c r="K23" s="4">
        <v>50</v>
      </c>
      <c r="L23" s="4">
        <v>50</v>
      </c>
      <c r="M23" s="4">
        <v>50</v>
      </c>
      <c r="N23" s="4">
        <v>50</v>
      </c>
      <c r="O23" s="4">
        <v>50</v>
      </c>
      <c r="P23" s="4">
        <v>50</v>
      </c>
      <c r="Q23" s="4">
        <v>50</v>
      </c>
      <c r="R23" s="4">
        <v>50</v>
      </c>
    </row>
    <row r="24" spans="1:18" x14ac:dyDescent="0.35">
      <c r="A24" s="5" t="s">
        <v>46</v>
      </c>
      <c r="B24" s="5" t="s">
        <v>47</v>
      </c>
      <c r="C24" s="5" t="s">
        <v>48</v>
      </c>
      <c r="D24" s="5" t="s">
        <v>48</v>
      </c>
      <c r="E24" s="5" t="s">
        <v>7</v>
      </c>
      <c r="F24" s="5" t="s">
        <v>8</v>
      </c>
      <c r="G24" s="4">
        <f t="shared" ref="G24:H24" si="13">10500/12</f>
        <v>875</v>
      </c>
      <c r="H24" s="4">
        <f t="shared" si="13"/>
        <v>875</v>
      </c>
      <c r="I24" s="4">
        <f>10500/12</f>
        <v>875</v>
      </c>
      <c r="J24" s="4">
        <f t="shared" ref="J24:R24" si="14">10500/12</f>
        <v>875</v>
      </c>
      <c r="K24" s="4">
        <f t="shared" si="14"/>
        <v>875</v>
      </c>
      <c r="L24" s="4">
        <f t="shared" si="14"/>
        <v>875</v>
      </c>
      <c r="M24" s="4">
        <f t="shared" si="14"/>
        <v>875</v>
      </c>
      <c r="N24" s="4">
        <f t="shared" si="14"/>
        <v>875</v>
      </c>
      <c r="O24" s="4">
        <f t="shared" si="14"/>
        <v>875</v>
      </c>
      <c r="P24" s="4">
        <f t="shared" si="14"/>
        <v>875</v>
      </c>
      <c r="Q24" s="4">
        <f t="shared" si="14"/>
        <v>875</v>
      </c>
      <c r="R24" s="4">
        <f t="shared" si="14"/>
        <v>875</v>
      </c>
    </row>
    <row r="25" spans="1:18" x14ac:dyDescent="0.35">
      <c r="A25" s="5" t="s">
        <v>46</v>
      </c>
      <c r="B25" s="5" t="s">
        <v>49</v>
      </c>
      <c r="C25" s="5" t="s">
        <v>50</v>
      </c>
      <c r="D25" s="5" t="s">
        <v>51</v>
      </c>
      <c r="E25" s="5" t="s">
        <v>7</v>
      </c>
      <c r="F25" s="5" t="s">
        <v>8</v>
      </c>
      <c r="G25" s="4">
        <f>11000/6</f>
        <v>1833.3333333333333</v>
      </c>
      <c r="H25" s="4">
        <f t="shared" ref="H25:R25" si="15">11000/6</f>
        <v>1833.3333333333333</v>
      </c>
      <c r="I25" s="4">
        <f t="shared" si="15"/>
        <v>1833.3333333333333</v>
      </c>
      <c r="J25" s="4">
        <f t="shared" si="15"/>
        <v>1833.3333333333333</v>
      </c>
      <c r="K25" s="4">
        <f t="shared" si="15"/>
        <v>1833.3333333333333</v>
      </c>
      <c r="L25" s="4">
        <f t="shared" si="15"/>
        <v>1833.3333333333333</v>
      </c>
      <c r="M25" s="4">
        <f t="shared" si="15"/>
        <v>1833.3333333333333</v>
      </c>
      <c r="N25" s="4">
        <f t="shared" si="15"/>
        <v>1833.3333333333333</v>
      </c>
      <c r="O25" s="4">
        <f t="shared" si="15"/>
        <v>1833.3333333333333</v>
      </c>
      <c r="P25" s="4">
        <f t="shared" si="15"/>
        <v>1833.3333333333333</v>
      </c>
      <c r="Q25" s="4">
        <f t="shared" si="15"/>
        <v>1833.3333333333333</v>
      </c>
      <c r="R25" s="4">
        <f t="shared" si="15"/>
        <v>1833.3333333333333</v>
      </c>
    </row>
    <row r="26" spans="1:18" x14ac:dyDescent="0.35">
      <c r="A26" s="5" t="s">
        <v>46</v>
      </c>
      <c r="B26" s="5" t="s">
        <v>52</v>
      </c>
      <c r="C26" s="5" t="s">
        <v>51</v>
      </c>
      <c r="D26" s="5" t="s">
        <v>51</v>
      </c>
      <c r="E26" s="5" t="s">
        <v>7</v>
      </c>
      <c r="F26" s="5" t="s">
        <v>8</v>
      </c>
      <c r="G26" s="4">
        <f t="shared" ref="G26:J26" si="16">317726.5/6</f>
        <v>52954.416666666664</v>
      </c>
      <c r="H26" s="4">
        <f t="shared" si="16"/>
        <v>52954.416666666664</v>
      </c>
      <c r="I26" s="4">
        <f t="shared" si="16"/>
        <v>52954.416666666664</v>
      </c>
      <c r="J26" s="4">
        <f t="shared" si="16"/>
        <v>52954.416666666664</v>
      </c>
      <c r="K26" s="4">
        <f>317726.5/6</f>
        <v>52954.416666666664</v>
      </c>
      <c r="L26" s="4">
        <f t="shared" ref="L26:R26" si="17">317726.5/6</f>
        <v>52954.416666666664</v>
      </c>
      <c r="M26" s="4">
        <f t="shared" si="17"/>
        <v>52954.416666666664</v>
      </c>
      <c r="N26" s="4">
        <f t="shared" si="17"/>
        <v>52954.416666666664</v>
      </c>
      <c r="O26" s="4">
        <f t="shared" si="17"/>
        <v>52954.416666666664</v>
      </c>
      <c r="P26" s="4">
        <f t="shared" si="17"/>
        <v>52954.416666666664</v>
      </c>
      <c r="Q26" s="4">
        <f t="shared" si="17"/>
        <v>52954.416666666664</v>
      </c>
      <c r="R26" s="4">
        <f t="shared" si="17"/>
        <v>52954.416666666664</v>
      </c>
    </row>
    <row r="27" spans="1:18" x14ac:dyDescent="0.35">
      <c r="A27" s="5" t="s">
        <v>46</v>
      </c>
      <c r="B27" s="5" t="s">
        <v>52</v>
      </c>
      <c r="C27" s="5" t="s">
        <v>53</v>
      </c>
      <c r="D27" s="5" t="s">
        <v>51</v>
      </c>
      <c r="E27" s="5" t="s">
        <v>7</v>
      </c>
      <c r="F27" s="5" t="s">
        <v>8</v>
      </c>
      <c r="G27" s="4">
        <f>AVERAGE($I$27:$P$27)</f>
        <v>1480.0062499999999</v>
      </c>
      <c r="H27" s="4">
        <f>AVERAGE($I$27:$P$27)</f>
        <v>1480.0062499999999</v>
      </c>
      <c r="I27" s="4">
        <v>1300.48</v>
      </c>
      <c r="J27" s="4">
        <v>975.13</v>
      </c>
      <c r="K27" s="4">
        <v>0</v>
      </c>
      <c r="L27" s="4">
        <v>4465.2700000000004</v>
      </c>
      <c r="M27" s="4">
        <v>812.57</v>
      </c>
      <c r="N27" s="4">
        <v>0</v>
      </c>
      <c r="O27" s="4">
        <v>2153.46</v>
      </c>
      <c r="P27" s="4">
        <v>2133.14</v>
      </c>
      <c r="Q27" s="4">
        <f t="shared" ref="Q27:R27" si="18">AVERAGE($I$27:$P$27)</f>
        <v>1480.0062499999999</v>
      </c>
      <c r="R27" s="4">
        <f t="shared" si="18"/>
        <v>1480.0062499999999</v>
      </c>
    </row>
    <row r="28" spans="1:18" x14ac:dyDescent="0.35">
      <c r="A28" s="5" t="s">
        <v>46</v>
      </c>
      <c r="B28" s="5" t="s">
        <v>54</v>
      </c>
      <c r="C28" s="5" t="s">
        <v>55</v>
      </c>
      <c r="D28" s="5" t="s">
        <v>30</v>
      </c>
      <c r="E28" s="5" t="s">
        <v>7</v>
      </c>
      <c r="F28" s="5" t="s">
        <v>8</v>
      </c>
      <c r="G28" s="4">
        <f>3110/3</f>
        <v>1036.6666666666667</v>
      </c>
      <c r="H28" s="4">
        <f t="shared" ref="H28:R28" si="19">3110/3</f>
        <v>1036.6666666666667</v>
      </c>
      <c r="I28" s="4">
        <f t="shared" si="19"/>
        <v>1036.6666666666667</v>
      </c>
      <c r="J28" s="4">
        <f t="shared" si="19"/>
        <v>1036.6666666666667</v>
      </c>
      <c r="K28" s="4">
        <f t="shared" si="19"/>
        <v>1036.6666666666667</v>
      </c>
      <c r="L28" s="4">
        <f t="shared" si="19"/>
        <v>1036.6666666666667</v>
      </c>
      <c r="M28" s="4">
        <f t="shared" si="19"/>
        <v>1036.6666666666667</v>
      </c>
      <c r="N28" s="4">
        <f t="shared" si="19"/>
        <v>1036.6666666666667</v>
      </c>
      <c r="O28" s="4">
        <f t="shared" si="19"/>
        <v>1036.6666666666667</v>
      </c>
      <c r="P28" s="4">
        <f t="shared" si="19"/>
        <v>1036.6666666666667</v>
      </c>
      <c r="Q28" s="4">
        <f t="shared" si="19"/>
        <v>1036.6666666666667</v>
      </c>
      <c r="R28" s="4">
        <f t="shared" si="19"/>
        <v>1036.6666666666667</v>
      </c>
    </row>
    <row r="29" spans="1:18" x14ac:dyDescent="0.35">
      <c r="A29" s="5" t="s">
        <v>46</v>
      </c>
      <c r="B29" s="5" t="s">
        <v>54</v>
      </c>
      <c r="C29" s="5" t="s">
        <v>56</v>
      </c>
      <c r="D29" s="5" t="s">
        <v>30</v>
      </c>
      <c r="E29" s="5" t="s">
        <v>7</v>
      </c>
      <c r="F29" s="5" t="s">
        <v>8</v>
      </c>
      <c r="G29" s="4">
        <f>5036/3</f>
        <v>1678.6666666666667</v>
      </c>
      <c r="H29" s="4">
        <f t="shared" ref="H29:R29" si="20">5036/3</f>
        <v>1678.6666666666667</v>
      </c>
      <c r="I29" s="4">
        <f t="shared" si="20"/>
        <v>1678.6666666666667</v>
      </c>
      <c r="J29" s="4">
        <f t="shared" si="20"/>
        <v>1678.6666666666667</v>
      </c>
      <c r="K29" s="4">
        <f t="shared" si="20"/>
        <v>1678.6666666666667</v>
      </c>
      <c r="L29" s="4">
        <f t="shared" si="20"/>
        <v>1678.6666666666667</v>
      </c>
      <c r="M29" s="4">
        <f t="shared" si="20"/>
        <v>1678.6666666666667</v>
      </c>
      <c r="N29" s="4">
        <f t="shared" si="20"/>
        <v>1678.6666666666667</v>
      </c>
      <c r="O29" s="4">
        <f t="shared" si="20"/>
        <v>1678.6666666666667</v>
      </c>
      <c r="P29" s="4">
        <f t="shared" si="20"/>
        <v>1678.6666666666667</v>
      </c>
      <c r="Q29" s="4">
        <f t="shared" si="20"/>
        <v>1678.6666666666667</v>
      </c>
      <c r="R29" s="4">
        <f t="shared" si="20"/>
        <v>1678.6666666666667</v>
      </c>
    </row>
    <row r="30" spans="1:18" x14ac:dyDescent="0.35">
      <c r="A30" s="5" t="s">
        <v>46</v>
      </c>
      <c r="B30" s="5" t="s">
        <v>54</v>
      </c>
      <c r="C30" s="5" t="s">
        <v>57</v>
      </c>
      <c r="D30" s="5" t="s">
        <v>58</v>
      </c>
      <c r="E30" s="5" t="s">
        <v>7</v>
      </c>
      <c r="F30" s="5" t="s">
        <v>8</v>
      </c>
      <c r="G30" s="4">
        <v>7500</v>
      </c>
      <c r="H30" s="4">
        <v>7500</v>
      </c>
      <c r="I30" s="4">
        <v>7500</v>
      </c>
      <c r="J30" s="4">
        <v>7500</v>
      </c>
      <c r="K30" s="4">
        <v>7500</v>
      </c>
      <c r="L30" s="4">
        <v>7500</v>
      </c>
      <c r="M30" s="4">
        <v>7500</v>
      </c>
      <c r="N30" s="4">
        <v>7500</v>
      </c>
      <c r="O30" s="4">
        <v>7500</v>
      </c>
      <c r="P30" s="4">
        <v>7500</v>
      </c>
      <c r="Q30" s="4">
        <v>7500</v>
      </c>
      <c r="R30" s="4">
        <v>7500</v>
      </c>
    </row>
    <row r="31" spans="1:18" x14ac:dyDescent="0.35">
      <c r="A31" s="5" t="s">
        <v>46</v>
      </c>
      <c r="B31" s="5" t="s">
        <v>59</v>
      </c>
      <c r="C31" s="5" t="s">
        <v>60</v>
      </c>
      <c r="D31" s="5" t="s">
        <v>30</v>
      </c>
      <c r="E31" s="5" t="s">
        <v>7</v>
      </c>
      <c r="F31" s="5" t="s">
        <v>8</v>
      </c>
      <c r="G31" s="4">
        <f>2155.2/3</f>
        <v>718.4</v>
      </c>
      <c r="H31" s="4">
        <f t="shared" ref="H31:R31" si="21">2155.2/3</f>
        <v>718.4</v>
      </c>
      <c r="I31" s="4">
        <f t="shared" si="21"/>
        <v>718.4</v>
      </c>
      <c r="J31" s="4">
        <f t="shared" si="21"/>
        <v>718.4</v>
      </c>
      <c r="K31" s="4">
        <f t="shared" si="21"/>
        <v>718.4</v>
      </c>
      <c r="L31" s="4">
        <f t="shared" si="21"/>
        <v>718.4</v>
      </c>
      <c r="M31" s="4">
        <f t="shared" si="21"/>
        <v>718.4</v>
      </c>
      <c r="N31" s="4">
        <f t="shared" si="21"/>
        <v>718.4</v>
      </c>
      <c r="O31" s="4">
        <f t="shared" si="21"/>
        <v>718.4</v>
      </c>
      <c r="P31" s="4">
        <f t="shared" si="21"/>
        <v>718.4</v>
      </c>
      <c r="Q31" s="4">
        <f t="shared" si="21"/>
        <v>718.4</v>
      </c>
      <c r="R31" s="4">
        <f t="shared" si="21"/>
        <v>718.4</v>
      </c>
    </row>
    <row r="32" spans="1:18" x14ac:dyDescent="0.35">
      <c r="A32" s="5" t="s">
        <v>46</v>
      </c>
      <c r="B32" s="5" t="s">
        <v>59</v>
      </c>
      <c r="C32" s="5" t="s">
        <v>61</v>
      </c>
      <c r="D32" s="5" t="s">
        <v>30</v>
      </c>
      <c r="E32" s="5" t="s">
        <v>7</v>
      </c>
      <c r="F32" s="5" t="s">
        <v>8</v>
      </c>
      <c r="G32" s="4">
        <v>25</v>
      </c>
      <c r="H32" s="4">
        <v>25</v>
      </c>
      <c r="I32" s="4">
        <v>25</v>
      </c>
      <c r="J32" s="4">
        <v>25</v>
      </c>
      <c r="K32" s="4">
        <v>25</v>
      </c>
      <c r="L32" s="4">
        <v>25</v>
      </c>
      <c r="M32" s="4">
        <v>25</v>
      </c>
      <c r="N32" s="4">
        <v>25</v>
      </c>
      <c r="O32" s="4">
        <v>25</v>
      </c>
      <c r="P32" s="4">
        <v>25</v>
      </c>
      <c r="Q32" s="4">
        <v>25</v>
      </c>
      <c r="R32" s="4">
        <v>25</v>
      </c>
    </row>
    <row r="33" spans="1:18" x14ac:dyDescent="0.35">
      <c r="A33" s="5" t="s">
        <v>46</v>
      </c>
      <c r="B33" s="5" t="s">
        <v>59</v>
      </c>
      <c r="C33" s="5" t="s">
        <v>62</v>
      </c>
      <c r="D33" s="5" t="s">
        <v>30</v>
      </c>
      <c r="E33" s="5" t="s">
        <v>7</v>
      </c>
      <c r="F33" s="5" t="s">
        <v>8</v>
      </c>
      <c r="G33" s="4">
        <f>1580.59/3</f>
        <v>526.86333333333334</v>
      </c>
      <c r="H33" s="4">
        <f t="shared" ref="H33:R33" si="22">1580.59/3</f>
        <v>526.86333333333334</v>
      </c>
      <c r="I33" s="4">
        <f t="shared" si="22"/>
        <v>526.86333333333334</v>
      </c>
      <c r="J33" s="4">
        <f t="shared" si="22"/>
        <v>526.86333333333334</v>
      </c>
      <c r="K33" s="4">
        <f t="shared" si="22"/>
        <v>526.86333333333334</v>
      </c>
      <c r="L33" s="4">
        <f t="shared" si="22"/>
        <v>526.86333333333334</v>
      </c>
      <c r="M33" s="4">
        <f t="shared" si="22"/>
        <v>526.86333333333334</v>
      </c>
      <c r="N33" s="4">
        <f t="shared" si="22"/>
        <v>526.86333333333334</v>
      </c>
      <c r="O33" s="4">
        <f t="shared" si="22"/>
        <v>526.86333333333334</v>
      </c>
      <c r="P33" s="4">
        <f t="shared" si="22"/>
        <v>526.86333333333334</v>
      </c>
      <c r="Q33" s="4">
        <f t="shared" si="22"/>
        <v>526.86333333333334</v>
      </c>
      <c r="R33" s="4">
        <f t="shared" si="22"/>
        <v>526.86333333333334</v>
      </c>
    </row>
    <row r="34" spans="1:18" x14ac:dyDescent="0.35">
      <c r="A34" s="5" t="s">
        <v>46</v>
      </c>
      <c r="B34" s="5" t="s">
        <v>63</v>
      </c>
      <c r="C34" t="s">
        <v>64</v>
      </c>
      <c r="D34" s="5" t="s">
        <v>65</v>
      </c>
      <c r="E34" s="5" t="s">
        <v>7</v>
      </c>
      <c r="F34" s="5" t="s">
        <v>8</v>
      </c>
      <c r="G34" s="4">
        <f>11*50</f>
        <v>550</v>
      </c>
      <c r="H34" s="4">
        <f t="shared" ref="H34:R34" si="23">11*50</f>
        <v>550</v>
      </c>
      <c r="I34" s="4">
        <f t="shared" si="23"/>
        <v>550</v>
      </c>
      <c r="J34" s="4">
        <f t="shared" si="23"/>
        <v>550</v>
      </c>
      <c r="K34" s="4">
        <f t="shared" si="23"/>
        <v>550</v>
      </c>
      <c r="L34" s="4">
        <f t="shared" si="23"/>
        <v>550</v>
      </c>
      <c r="M34" s="4">
        <f t="shared" si="23"/>
        <v>550</v>
      </c>
      <c r="N34" s="4">
        <f t="shared" si="23"/>
        <v>550</v>
      </c>
      <c r="O34" s="4">
        <f t="shared" si="23"/>
        <v>550</v>
      </c>
      <c r="P34" s="4">
        <f t="shared" si="23"/>
        <v>550</v>
      </c>
      <c r="Q34" s="4">
        <f t="shared" si="23"/>
        <v>550</v>
      </c>
      <c r="R34" s="4">
        <f t="shared" si="23"/>
        <v>550</v>
      </c>
    </row>
    <row r="35" spans="1:18" x14ac:dyDescent="0.35">
      <c r="A35" s="5" t="s">
        <v>46</v>
      </c>
      <c r="B35" s="5" t="s">
        <v>63</v>
      </c>
      <c r="C35" s="5" t="s">
        <v>66</v>
      </c>
      <c r="D35" s="5" t="s">
        <v>67</v>
      </c>
      <c r="E35" s="5" t="s">
        <v>7</v>
      </c>
      <c r="F35" s="5" t="s">
        <v>8</v>
      </c>
      <c r="G35" s="4">
        <v>40000</v>
      </c>
      <c r="H35" s="4">
        <v>40000</v>
      </c>
      <c r="I35" s="4">
        <v>40000</v>
      </c>
      <c r="J35" s="4">
        <v>40000</v>
      </c>
      <c r="K35" s="4">
        <v>40000</v>
      </c>
      <c r="L35" s="4">
        <v>40000</v>
      </c>
      <c r="M35" s="4">
        <v>40000</v>
      </c>
      <c r="N35" s="4">
        <v>40000</v>
      </c>
      <c r="O35" s="4">
        <v>40000</v>
      </c>
      <c r="P35" s="4">
        <v>40000</v>
      </c>
      <c r="Q35" s="4">
        <v>40000</v>
      </c>
      <c r="R35" s="4">
        <v>40000</v>
      </c>
    </row>
    <row r="36" spans="1:18" x14ac:dyDescent="0.35">
      <c r="A36" s="5" t="s">
        <v>46</v>
      </c>
      <c r="B36" s="5" t="s">
        <v>63</v>
      </c>
      <c r="C36" s="5" t="s">
        <v>68</v>
      </c>
      <c r="D36" s="5" t="s">
        <v>69</v>
      </c>
      <c r="E36" s="5" t="s">
        <v>7</v>
      </c>
      <c r="F36" s="5" t="s">
        <v>8</v>
      </c>
      <c r="G36" s="4">
        <f>100000*1.18*2/12</f>
        <v>19666.666666666668</v>
      </c>
      <c r="H36" s="4">
        <f t="shared" ref="H36:R36" si="24">100000*1.18*2/12</f>
        <v>19666.666666666668</v>
      </c>
      <c r="I36" s="4">
        <f t="shared" si="24"/>
        <v>19666.666666666668</v>
      </c>
      <c r="J36" s="4">
        <f t="shared" si="24"/>
        <v>19666.666666666668</v>
      </c>
      <c r="K36" s="4">
        <f t="shared" si="24"/>
        <v>19666.666666666668</v>
      </c>
      <c r="L36" s="4">
        <f t="shared" si="24"/>
        <v>19666.666666666668</v>
      </c>
      <c r="M36" s="4">
        <f t="shared" si="24"/>
        <v>19666.666666666668</v>
      </c>
      <c r="N36" s="4">
        <f t="shared" si="24"/>
        <v>19666.666666666668</v>
      </c>
      <c r="O36" s="4">
        <f t="shared" si="24"/>
        <v>19666.666666666668</v>
      </c>
      <c r="P36" s="4">
        <f t="shared" si="24"/>
        <v>19666.666666666668</v>
      </c>
      <c r="Q36" s="4">
        <f t="shared" si="24"/>
        <v>19666.666666666668</v>
      </c>
      <c r="R36" s="4">
        <f t="shared" si="24"/>
        <v>19666.666666666668</v>
      </c>
    </row>
    <row r="37" spans="1:18" x14ac:dyDescent="0.35">
      <c r="A37" s="5" t="s">
        <v>46</v>
      </c>
      <c r="B37" s="5" t="s">
        <v>63</v>
      </c>
      <c r="C37" s="5" t="s">
        <v>70</v>
      </c>
      <c r="D37" s="5" t="s">
        <v>69</v>
      </c>
      <c r="E37" s="5" t="s">
        <v>7</v>
      </c>
      <c r="F37" s="5" t="s">
        <v>8</v>
      </c>
      <c r="G37" s="4">
        <f>150000*1.18/12</f>
        <v>14750</v>
      </c>
      <c r="H37" s="4">
        <f>150000*1.18/12</f>
        <v>14750</v>
      </c>
      <c r="I37" s="4">
        <f t="shared" ref="I37:R37" si="25">150000*1.18/12</f>
        <v>14750</v>
      </c>
      <c r="J37" s="4">
        <f t="shared" si="25"/>
        <v>14750</v>
      </c>
      <c r="K37" s="4">
        <f t="shared" si="25"/>
        <v>14750</v>
      </c>
      <c r="L37" s="4">
        <f t="shared" si="25"/>
        <v>14750</v>
      </c>
      <c r="M37" s="4">
        <f t="shared" si="25"/>
        <v>14750</v>
      </c>
      <c r="N37" s="4">
        <f t="shared" si="25"/>
        <v>14750</v>
      </c>
      <c r="O37" s="4">
        <f t="shared" si="25"/>
        <v>14750</v>
      </c>
      <c r="P37" s="4">
        <f t="shared" si="25"/>
        <v>14750</v>
      </c>
      <c r="Q37" s="4">
        <f t="shared" si="25"/>
        <v>14750</v>
      </c>
      <c r="R37" s="4">
        <f t="shared" si="25"/>
        <v>14750</v>
      </c>
    </row>
    <row r="49" spans="1:18" x14ac:dyDescent="0.35">
      <c r="A49" s="7" t="s">
        <v>71</v>
      </c>
      <c r="B49" s="7"/>
      <c r="C49" s="7"/>
      <c r="D49" s="7"/>
      <c r="E49" s="7"/>
      <c r="F49" s="7"/>
      <c r="G49" s="7"/>
    </row>
    <row r="50" spans="1:18" x14ac:dyDescent="0.35">
      <c r="A50" s="3"/>
      <c r="B50" s="3"/>
      <c r="C50" s="3" t="s">
        <v>72</v>
      </c>
      <c r="D50" s="3"/>
      <c r="E50" s="3"/>
      <c r="F50" s="3"/>
      <c r="G50" s="4" t="s">
        <v>73</v>
      </c>
      <c r="H50" s="4" t="s">
        <v>74</v>
      </c>
      <c r="I50" s="4" t="s">
        <v>75</v>
      </c>
      <c r="J50" s="4" t="s">
        <v>76</v>
      </c>
      <c r="K50" s="4" t="s">
        <v>77</v>
      </c>
      <c r="L50" s="4" t="s">
        <v>78</v>
      </c>
      <c r="M50" s="4" t="s">
        <v>79</v>
      </c>
      <c r="N50" s="4" t="s">
        <v>80</v>
      </c>
      <c r="O50" s="4" t="s">
        <v>81</v>
      </c>
      <c r="P50" s="4" t="s">
        <v>82</v>
      </c>
      <c r="Q50" s="4" t="s">
        <v>83</v>
      </c>
      <c r="R50" s="4" t="s">
        <v>84</v>
      </c>
    </row>
    <row r="51" spans="1:18" x14ac:dyDescent="0.35">
      <c r="A51" s="5"/>
      <c r="B51" s="5"/>
      <c r="C51" t="s">
        <v>40</v>
      </c>
      <c r="D51" s="5" t="s">
        <v>19</v>
      </c>
      <c r="E51" s="5" t="s">
        <v>7</v>
      </c>
      <c r="F51" s="5" t="s">
        <v>8</v>
      </c>
      <c r="G51">
        <v>202</v>
      </c>
      <c r="H51">
        <v>204</v>
      </c>
      <c r="I51">
        <v>224</v>
      </c>
      <c r="J51">
        <v>229</v>
      </c>
      <c r="K51">
        <v>222</v>
      </c>
      <c r="L51">
        <v>212</v>
      </c>
      <c r="M51">
        <v>216</v>
      </c>
      <c r="N51">
        <v>213</v>
      </c>
      <c r="O51">
        <v>217</v>
      </c>
      <c r="P51">
        <v>220</v>
      </c>
      <c r="Q51">
        <v>212</v>
      </c>
      <c r="R51">
        <v>198</v>
      </c>
    </row>
    <row r="52" spans="1:18" x14ac:dyDescent="0.35">
      <c r="A52" s="5"/>
      <c r="B52" s="5"/>
      <c r="C52" t="s">
        <v>41</v>
      </c>
      <c r="D52" s="5" t="s">
        <v>19</v>
      </c>
      <c r="E52" s="5" t="s">
        <v>7</v>
      </c>
      <c r="F52" s="5" t="s">
        <v>8</v>
      </c>
      <c r="G52">
        <v>214</v>
      </c>
      <c r="H52">
        <v>216</v>
      </c>
      <c r="I52">
        <v>214</v>
      </c>
      <c r="J52">
        <v>218</v>
      </c>
      <c r="K52">
        <v>228</v>
      </c>
      <c r="L52">
        <v>218</v>
      </c>
      <c r="M52">
        <v>218</v>
      </c>
      <c r="N52">
        <v>218</v>
      </c>
      <c r="O52">
        <v>218</v>
      </c>
      <c r="P52">
        <v>214</v>
      </c>
      <c r="Q52">
        <v>207</v>
      </c>
      <c r="R52">
        <v>198</v>
      </c>
    </row>
  </sheetData>
  <autoFilter ref="A1:R37" xr:uid="{5869B028-63FE-4B66-ABA5-5102C29B86EA}"/>
  <mergeCells count="1">
    <mergeCell ref="A49:G4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Auld</dc:creator>
  <cp:lastModifiedBy>Drew Auld</cp:lastModifiedBy>
  <dcterms:created xsi:type="dcterms:W3CDTF">2026-01-23T11:21:31Z</dcterms:created>
  <dcterms:modified xsi:type="dcterms:W3CDTF">2026-01-23T11:31:58Z</dcterms:modified>
</cp:coreProperties>
</file>